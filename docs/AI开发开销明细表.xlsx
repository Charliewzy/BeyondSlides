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AI 开发开销" sheetId="1" state="visible" r:id="rId1"/>
  </sheet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"/>
    <numFmt numFmtId="165" formatCode="$#,##0.00;[Red]-$#,##0.00"/>
    <numFmt numFmtId="166" formatCode="0.0000"/>
    <numFmt numFmtId="167" formatCode="¥#,##0.00;[Red]-¥#,##0.00"/>
  </numFmts>
  <fonts count="4">
    <font>
      <sz val="11"/>
      <name val="Aptos"/>
      <family val="2"/>
      <scheme val="minor"/>
    </font>
    <font>
      <b/>
      <color rgb="FFFFFFFF"/>
      <sz val="18"/>
      <name val="Aptos Display"/>
      <family val="2"/>
      <scheme val="major"/>
    </font>
    <font>
      <b/>
      <color rgb="FFFFFFFF"/>
      <sz val="11"/>
      <name val="Aptos"/>
      <family val="2"/>
      <scheme val="minor"/>
    </font>
    <font>
      <b/>
      <color rgb="FF1F1F1F"/>
      <sz val="11"/>
      <name val="Apto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166" fontId="3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7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AIDevCostTable" displayName="AIDevCostTable" ref="A4:I24" totalsRowShown="0">
  <autoFilter ref="A4:I24"/>
  <tableColumns count="9">
    <tableColumn id="1" name="阶段"/>
    <tableColumn id="2" name="人时（小时）"/>
    <tableColumn id="3" name="总 Token 数"/>
    <tableColumn id="4" name="总花费（USD）"/>
    <tableColumn id="5" name="汇率（USD→CNY）"/>
    <tableColumn id="6" name="总花费（CNY）"/>
    <tableColumn id="7" name="模型名称"/>
    <tableColumn id="8" name="AI 开发工具"/>
    <tableColumn id="9" name="备注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8"/>
  <cols>
    <col min="1" max="1" width="30" customWidth="1"/>
    <col min="2" max="2" width="14" customWidth="1"/>
    <col min="3" max="3" width="18" customWidth="1"/>
    <col min="4" max="6" width="18" customWidth="1"/>
    <col min="7" max="8" width="28" customWidth="1"/>
    <col min="9" max="9" width="42" customWidth="1"/>
  </cols>
  <sheetData>
    <row r="1" ht="30" customHeight="1">
      <c r="A1" s="1" t="inlineStr">
        <is>
          <t>AI 开发开销明细表（聊天记录估算）</t>
        </is>
      </c>
    </row>
    <row r="2" ht="48" customHeight="1">
      <c r="A2" s="2" t="inlineStr">
        <is>
          <t>黄色单元格为可填写区；Token/人时来自聊天记录抽样。社区实测显示 Pro 5x 周额度约 0.5–1.2B Token（波动很大）；本表取约 0.85B 的中位情形，项目 649M Token ≈ 76% 周额度。按 $100/月≈$25/周折算，费用约 $19，合理区间约 $14–$33；不是精确账单。</t>
        </is>
      </c>
    </row>
    <row r="3" ht="22" customHeight="1">
      <c r="A3" s="11"/>
    </row>
    <row r="4" ht="32" customHeight="1">
      <c r="A4" s="3" t="inlineStr">
        <is>
          <t>阶段</t>
        </is>
      </c>
      <c r="B4" s="3" t="inlineStr">
        <is>
          <t>人时（小时）</t>
        </is>
      </c>
      <c r="C4" s="3" t="inlineStr">
        <is>
          <t>总 Token 数</t>
        </is>
      </c>
      <c r="D4" s="3" t="inlineStr">
        <is>
          <t>总花费（USD）</t>
        </is>
      </c>
      <c r="E4" s="3" t="inlineStr">
        <is>
          <t>汇率（USD→CNY）</t>
        </is>
      </c>
      <c r="F4" s="3" t="inlineStr">
        <is>
          <t>总花费（CNY）</t>
        </is>
      </c>
      <c r="G4" s="3" t="inlineStr">
        <is>
          <t>模型名称</t>
        </is>
      </c>
      <c r="H4" s="3" t="inlineStr">
        <is>
          <t>AI 开发工具</t>
        </is>
      </c>
      <c r="I4" s="3" t="inlineStr">
        <is>
          <t>备注</t>
        </is>
      </c>
    </row>
    <row r="5" ht="30" customHeight="1">
      <c r="A5" s="4" t="inlineStr">
        <is>
          <t>需求分析与架构设计</t>
        </is>
      </c>
      <c r="B5" s="6">
        <v>12</v>
      </c>
      <c r="C5" s="7">
        <v>51958567</v>
      </c>
      <c r="D5" s="8">
        <v>1.52</v>
      </c>
      <c r="E5" s="10">
        <v>7.2</v>
      </c>
      <c r="F5" s="13">
        <f>IF(OR(D5="",E5=""),"",D5*E5)</f>
      </c>
      <c r="G5" s="5" t="inlineStr">
        <is>
          <t>gpt-5.6-sol</t>
        </is>
      </c>
      <c r="H5" s="5" t="inlineStr">
        <is>
          <t>Codex CLI/TUI</t>
        </is>
      </c>
      <c r="I5" s="5" t="inlineStr">
        <is>
          <t>8/27–8/28；按抽样聊天记录归类</t>
        </is>
      </c>
    </row>
    <row r="6" ht="30" customHeight="1">
      <c r="A6" s="4" t="inlineStr">
        <is>
          <t>Rust 核心逻辑与数据管线</t>
        </is>
      </c>
      <c r="B6" s="6">
        <v>38</v>
      </c>
      <c r="C6" s="7">
        <v>155875701</v>
      </c>
      <c r="D6" s="8">
        <v>4.56</v>
      </c>
      <c r="E6" s="10">
        <v>7.2</v>
      </c>
      <c r="F6" s="13">
        <f>IF(OR(D6="",E6=""),"",D6*E6)</f>
      </c>
      <c r="G6" s="5" t="inlineStr">
        <is>
          <t>gpt-5.6-sol</t>
        </is>
      </c>
      <c r="H6" s="5" t="inlineStr">
        <is>
          <t>Codex CLI/TUI</t>
        </is>
      </c>
      <c r="I6" s="5" t="inlineStr">
        <is>
          <t>8/28–8/30；Rust 核心、检索、窗口与数据结构</t>
        </is>
      </c>
    </row>
    <row r="7" ht="30" customHeight="1">
      <c r="A7" s="4" t="inlineStr">
        <is>
          <t>LLM/API 集成与端到端编排</t>
        </is>
      </c>
      <c r="B7" s="6">
        <v>24</v>
      </c>
      <c r="C7" s="7">
        <v>116906776</v>
      </c>
      <c r="D7" s="8">
        <v>3.42</v>
      </c>
      <c r="E7" s="10">
        <v>7.2</v>
      </c>
      <c r="F7" s="13">
        <f>IF(OR(D7="",E7=""),"",D7*E7)</f>
      </c>
      <c r="G7" s="5" t="inlineStr">
        <is>
          <t>gpt-5.6-sol；GLM-5（外部测试）</t>
        </is>
      </c>
      <c r="H7" s="5" t="inlineStr">
        <is>
          <t>Codex CLI/TUI</t>
        </is>
      </c>
      <c r="I7" s="5" t="inlineStr">
        <is>
          <t>8/30–9/3；API canary、编排、转写恢复与标注</t>
        </is>
      </c>
    </row>
    <row r="8" ht="30" customHeight="1">
      <c r="A8" s="4" t="inlineStr">
        <is>
          <t>测试调试与质量验证</t>
        </is>
      </c>
      <c r="B8" s="6">
        <v>32</v>
      </c>
      <c r="C8" s="7">
        <v>116906776</v>
      </c>
      <c r="D8" s="8">
        <v>3.42</v>
      </c>
      <c r="E8" s="10">
        <v>7.2</v>
      </c>
      <c r="F8" s="13">
        <f>IF(OR(D8="",E8=""),"",D8*E8)</f>
      </c>
      <c r="G8" s="5" t="inlineStr">
        <is>
          <t>gpt-5.6-sol；gpt-6-astra</t>
        </is>
      </c>
      <c r="H8" s="5" t="inlineStr">
        <is>
          <t>Codex CLI/TUI</t>
        </is>
      </c>
      <c r="I8" s="5" t="inlineStr">
        <is>
          <t>9/3–9/6；验证、修复、回归与发布检查</t>
        </is>
      </c>
    </row>
    <row r="9" ht="30" customHeight="1">
      <c r="A9" s="4" t="inlineStr">
        <is>
          <t>UI 开发与可视化</t>
        </is>
      </c>
      <c r="B9" s="6">
        <v>26</v>
      </c>
      <c r="C9" s="7">
        <v>103917134</v>
      </c>
      <c r="D9" s="8">
        <v>3.04</v>
      </c>
      <c r="E9" s="10">
        <v>7.2</v>
      </c>
      <c r="F9" s="13">
        <f>IF(OR(D9="",E9=""),"",D9*E9)</f>
      </c>
      <c r="G9" s="5" t="inlineStr">
        <is>
          <t>gpt-5.6-sol</t>
        </is>
      </c>
      <c r="H9" s="5" t="inlineStr">
        <is>
          <t>Codex CLI/TUI + browser 工具</t>
        </is>
      </c>
      <c r="I9" s="5" t="inlineStr">
        <is>
          <t>9/4–9/5、9/9；阅读视图、滑块、幻灯片联动</t>
        </is>
      </c>
    </row>
    <row r="10" ht="30" customHeight="1">
      <c r="A10" s="4" t="inlineStr">
        <is>
          <t>部署、Rain Classroom 集成与优化</t>
        </is>
      </c>
      <c r="B10" s="6">
        <v>34</v>
      </c>
      <c r="C10" s="7">
        <v>103917134</v>
      </c>
      <c r="D10" s="8">
        <v>3.04</v>
      </c>
      <c r="E10" s="10">
        <v>7.2</v>
      </c>
      <c r="F10" s="13">
        <f>IF(OR(D10="",E10=""),"",D10*E10)</f>
      </c>
      <c r="G10" s="5" t="inlineStr">
        <is>
          <t>gpt-6-astra；gpt-5.6-sol</t>
        </is>
      </c>
      <c r="H10" s="5" t="inlineStr">
        <is>
          <t>Codex CLI/TUI + Playwright</t>
        </is>
      </c>
      <c r="I10" s="5" t="inlineStr">
        <is>
          <t>9/6–9/13；打包、Rain Classroom、OCR、预算与性能</t>
        </is>
      </c>
    </row>
    <row r="11" ht="30" customHeight="1">
      <c r="A11" s="4" t="inlineStr">
        <is>
          <t/>
        </is>
      </c>
      <c r="B11" s="6"/>
      <c r="C11" s="7"/>
      <c r="D11" s="8"/>
      <c r="E11" s="10"/>
      <c r="F11" s="13">
        <f>IF(OR(D11="",E11=""),"",D11*E11)</f>
      </c>
      <c r="G11" s="5"/>
      <c r="H11" s="5"/>
      <c r="I11" s="5"/>
    </row>
    <row r="12" ht="30" customHeight="1">
      <c r="A12" s="4" t="inlineStr">
        <is>
          <t/>
        </is>
      </c>
      <c r="B12" s="6"/>
      <c r="C12" s="7"/>
      <c r="D12" s="8"/>
      <c r="E12" s="10"/>
      <c r="F12" s="13">
        <f>IF(OR(D12="",E12=""),"",D12*E12)</f>
      </c>
      <c r="G12" s="5"/>
      <c r="H12" s="5"/>
      <c r="I12" s="5"/>
    </row>
    <row r="13" ht="30" customHeight="1">
      <c r="A13" s="4" t="inlineStr">
        <is>
          <t/>
        </is>
      </c>
      <c r="B13" s="6"/>
      <c r="C13" s="7"/>
      <c r="D13" s="8"/>
      <c r="E13" s="10"/>
      <c r="F13" s="13">
        <f>IF(OR(D13="",E13=""),"",D13*E13)</f>
      </c>
      <c r="G13" s="5"/>
      <c r="H13" s="5"/>
      <c r="I13" s="5"/>
    </row>
    <row r="14" ht="30" customHeight="1">
      <c r="A14" s="4" t="inlineStr">
        <is>
          <t/>
        </is>
      </c>
      <c r="B14" s="6"/>
      <c r="C14" s="7"/>
      <c r="D14" s="8"/>
      <c r="E14" s="10"/>
      <c r="F14" s="13">
        <f>IF(OR(D14="",E14=""),"",D14*E14)</f>
      </c>
      <c r="G14" s="5"/>
      <c r="H14" s="5"/>
      <c r="I14" s="5"/>
    </row>
    <row r="15" ht="30" customHeight="1">
      <c r="A15" s="4" t="inlineStr">
        <is>
          <t/>
        </is>
      </c>
      <c r="B15" s="6"/>
      <c r="C15" s="7"/>
      <c r="D15" s="8"/>
      <c r="E15" s="10"/>
      <c r="F15" s="13">
        <f>IF(OR(D15="",E15=""),"",D15*E15)</f>
      </c>
      <c r="G15" s="5"/>
      <c r="H15" s="5"/>
      <c r="I15" s="5"/>
    </row>
    <row r="16" ht="30" customHeight="1">
      <c r="A16" s="4" t="inlineStr">
        <is>
          <t/>
        </is>
      </c>
      <c r="B16" s="6"/>
      <c r="C16" s="7"/>
      <c r="D16" s="8"/>
      <c r="E16" s="10"/>
      <c r="F16" s="13">
        <f>IF(OR(D16="",E16=""),"",D16*E16)</f>
      </c>
      <c r="G16" s="5"/>
      <c r="H16" s="5"/>
      <c r="I16" s="5"/>
    </row>
    <row r="17" ht="30" customHeight="1">
      <c r="A17" s="4" t="inlineStr">
        <is>
          <t/>
        </is>
      </c>
      <c r="B17" s="6"/>
      <c r="C17" s="7"/>
      <c r="D17" s="8"/>
      <c r="E17" s="10"/>
      <c r="F17" s="13">
        <f>IF(OR(D17="",E17=""),"",D17*E17)</f>
      </c>
      <c r="G17" s="5"/>
      <c r="H17" s="5"/>
      <c r="I17" s="5"/>
    </row>
    <row r="18" ht="30" customHeight="1">
      <c r="A18" s="4" t="inlineStr">
        <is>
          <t/>
        </is>
      </c>
      <c r="B18" s="6"/>
      <c r="C18" s="7"/>
      <c r="D18" s="8"/>
      <c r="E18" s="10"/>
      <c r="F18" s="13">
        <f>IF(OR(D18="",E18=""),"",D18*E18)</f>
      </c>
      <c r="G18" s="5"/>
      <c r="H18" s="5"/>
      <c r="I18" s="5"/>
    </row>
    <row r="19" ht="30" customHeight="1">
      <c r="A19" s="4" t="inlineStr">
        <is>
          <t/>
        </is>
      </c>
      <c r="B19" s="6"/>
      <c r="C19" s="7"/>
      <c r="D19" s="8"/>
      <c r="E19" s="10"/>
      <c r="F19" s="13">
        <f>IF(OR(D19="",E19=""),"",D19*E19)</f>
      </c>
      <c r="G19" s="5"/>
      <c r="H19" s="5"/>
      <c r="I19" s="5"/>
    </row>
    <row r="20" ht="30" customHeight="1">
      <c r="A20" s="4" t="inlineStr">
        <is>
          <t/>
        </is>
      </c>
      <c r="B20" s="6"/>
      <c r="C20" s="7"/>
      <c r="D20" s="8"/>
      <c r="E20" s="10"/>
      <c r="F20" s="13">
        <f>IF(OR(D20="",E20=""),"",D20*E20)</f>
      </c>
      <c r="G20" s="5"/>
      <c r="H20" s="5"/>
      <c r="I20" s="5"/>
    </row>
    <row r="21" ht="30" customHeight="1">
      <c r="A21" s="4" t="inlineStr">
        <is>
          <t/>
        </is>
      </c>
      <c r="B21" s="6"/>
      <c r="C21" s="7"/>
      <c r="D21" s="8"/>
      <c r="E21" s="10"/>
      <c r="F21" s="13">
        <f>IF(OR(D21="",E21=""),"",D21*E21)</f>
      </c>
      <c r="G21" s="5"/>
      <c r="H21" s="5"/>
      <c r="I21" s="5"/>
    </row>
    <row r="22" ht="30" customHeight="1">
      <c r="A22" s="4" t="inlineStr">
        <is>
          <t/>
        </is>
      </c>
      <c r="B22" s="6"/>
      <c r="C22" s="7"/>
      <c r="D22" s="8"/>
      <c r="E22" s="10"/>
      <c r="F22" s="13">
        <f>IF(OR(D22="",E22=""),"",D22*E22)</f>
      </c>
      <c r="G22" s="5"/>
      <c r="H22" s="5"/>
      <c r="I22" s="5"/>
    </row>
    <row r="23" ht="30" customHeight="1">
      <c r="A23" s="4" t="inlineStr">
        <is>
          <t/>
        </is>
      </c>
      <c r="B23" s="6"/>
      <c r="C23" s="7"/>
      <c r="D23" s="8"/>
      <c r="E23" s="10"/>
      <c r="F23" s="13">
        <f>IF(OR(D23="",E23=""),"",D23*E23)</f>
      </c>
      <c r="G23" s="5"/>
      <c r="H23" s="5"/>
      <c r="I23" s="5"/>
    </row>
    <row r="24" ht="30" customHeight="1">
      <c r="A24" s="4" t="inlineStr">
        <is>
          <t/>
        </is>
      </c>
      <c r="B24" s="6"/>
      <c r="C24" s="7"/>
      <c r="D24" s="8"/>
      <c r="E24" s="10"/>
      <c r="F24" s="13">
        <f>IF(OR(D24="",E24=""),"",D24*E24)</f>
      </c>
      <c r="G24" s="5"/>
      <c r="H24" s="5"/>
      <c r="I24" s="5"/>
    </row>
    <row r="25" ht="26" customHeight="1">
      <c r="A25" s="14" t="inlineStr">
        <is>
          <t>合计</t>
        </is>
      </c>
      <c r="B25" s="15">
        <f>SUM(B5:B24)</f>
      </c>
      <c r="C25" s="15">
        <f>SUM(C5:C24)</f>
      </c>
      <c r="D25" s="16">
        <f>SUM(D5:D24)</f>
      </c>
      <c r="E25" s="14"/>
      <c r="F25" s="17">
        <f>SUM(F5:F24)</f>
      </c>
      <c r="G25" s="14"/>
      <c r="H25" s="14"/>
      <c r="I25" s="14"/>
    </row>
  </sheetData>
  <mergeCells count="2">
    <mergeCell ref="A1:I1"/>
    <mergeCell ref="A2:I2"/>
  </mergeCells>
  <autoFilter ref="A4:I24"/>
  <tableParts count="1">
    <tablePart r:id="rId1"/>
  </tablePart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Template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开发开销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AI 开发开销明细表</dc:title>
  <dcterms:created xsi:type="dcterms:W3CDTF">2026-09-13T13:04:49Z</dcterms:created>
  <dcterms:modified xsi:type="dcterms:W3CDTF">2026-09-13T13:04:49Z</dcterms:modified>
</cp:coreProperties>
</file>